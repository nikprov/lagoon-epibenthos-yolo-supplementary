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37e7e0588ff4f3a/HCMR docs/Publications/Benthic photogrammetry paper/Python for Paper Stats/"/>
    </mc:Choice>
  </mc:AlternateContent>
  <xr:revisionPtr revIDLastSave="733" documentId="11_AD4DCBB4A06381AAC71CFCAB1E17EF8E683EDF2D" xr6:coauthVersionLast="47" xr6:coauthVersionMax="47" xr10:uidLastSave="{439A3F7A-4B93-4DAD-A4A5-3B8CAA05B2DB}"/>
  <bookViews>
    <workbookView xWindow="-120" yWindow="-120" windowWidth="29040" windowHeight="15720" tabRatio="289" xr2:uid="{00000000-000D-0000-FFFF-FFFF00000000}"/>
  </bookViews>
  <sheets>
    <sheet name="optimal_model_search" sheetId="2" r:id="rId1"/>
  </sheets>
  <definedNames>
    <definedName name="_xlnm._FilterDatabase" localSheetId="0" hidden="1">optimal_model_search!$A$1:$O$1</definedName>
    <definedName name="_xlchart.v1.0" hidden="1">optimal_model_search!$P$1</definedName>
    <definedName name="_xlchart.v1.1" hidden="1">optimal_model_search!$P$2:$P$13</definedName>
    <definedName name="_xlchart.v1.2" hidden="1">optimal_model_search!$Q$1</definedName>
    <definedName name="_xlchart.v1.3" hidden="1">optimal_model_search!$Q$2:$Q$13</definedName>
    <definedName name="_xlchart.v1.4" hidden="1">optimal_model_search!$R$1</definedName>
    <definedName name="_xlchart.v1.5" hidden="1">optimal_model_search!$R$2:$R$13</definedName>
    <definedName name="_xlchart.v1.6" hidden="1">optimal_model_search!$S$1</definedName>
    <definedName name="_xlchart.v1.7" hidden="1">optimal_model_search!$S$2:$S$13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2" l="1"/>
  <c r="S16" i="2" s="1"/>
  <c r="R2" i="2"/>
  <c r="R15" i="2" s="1"/>
  <c r="Q2" i="2"/>
  <c r="Q15" i="2" s="1"/>
  <c r="P2" i="2"/>
  <c r="P15" i="2" s="1"/>
  <c r="H18" i="2"/>
  <c r="I18" i="2"/>
  <c r="J18" i="2"/>
  <c r="G17" i="2"/>
  <c r="H17" i="2"/>
  <c r="J17" i="2"/>
  <c r="I17" i="2"/>
  <c r="G15" i="2"/>
  <c r="H15" i="2"/>
  <c r="G16" i="2"/>
  <c r="H16" i="2"/>
  <c r="J15" i="2"/>
  <c r="J16" i="2"/>
  <c r="I15" i="2"/>
  <c r="I16" i="2"/>
  <c r="S3" i="2"/>
  <c r="S4" i="2"/>
  <c r="S5" i="2"/>
  <c r="S6" i="2"/>
  <c r="S7" i="2"/>
  <c r="S8" i="2"/>
  <c r="S9" i="2"/>
  <c r="S10" i="2"/>
  <c r="S11" i="2"/>
  <c r="S12" i="2"/>
  <c r="S13" i="2"/>
  <c r="R3" i="2"/>
  <c r="R4" i="2"/>
  <c r="R5" i="2"/>
  <c r="R6" i="2"/>
  <c r="R7" i="2"/>
  <c r="R8" i="2"/>
  <c r="R9" i="2"/>
  <c r="R10" i="2"/>
  <c r="R11" i="2"/>
  <c r="R12" i="2"/>
  <c r="R13" i="2"/>
  <c r="Q3" i="2"/>
  <c r="Q4" i="2"/>
  <c r="Q5" i="2"/>
  <c r="Q6" i="2"/>
  <c r="Q7" i="2"/>
  <c r="Q8" i="2"/>
  <c r="Q9" i="2"/>
  <c r="Q10" i="2"/>
  <c r="Q11" i="2"/>
  <c r="Q12" i="2"/>
  <c r="Q13" i="2"/>
  <c r="P3" i="2"/>
  <c r="P4" i="2"/>
  <c r="P5" i="2"/>
  <c r="P6" i="2"/>
  <c r="P7" i="2"/>
  <c r="P8" i="2"/>
  <c r="P9" i="2"/>
  <c r="P10" i="2"/>
  <c r="P11" i="2"/>
  <c r="P12" i="2"/>
  <c r="P13" i="2"/>
  <c r="S15" i="2" l="1"/>
  <c r="R16" i="2"/>
  <c r="Q16" i="2"/>
  <c r="P16" i="2"/>
</calcChain>
</file>

<file path=xl/sharedStrings.xml><?xml version="1.0" encoding="utf-8"?>
<sst xmlns="http://schemas.openxmlformats.org/spreadsheetml/2006/main" count="55" uniqueCount="34">
  <si>
    <t>Model name</t>
  </si>
  <si>
    <t>Epochs entered</t>
  </si>
  <si>
    <t>Patience</t>
  </si>
  <si>
    <t>Best model at epoch</t>
  </si>
  <si>
    <t>GIS - Paranemonia</t>
  </si>
  <si>
    <t>GIS - Brachyura</t>
  </si>
  <si>
    <t>epibenthos_finder_v11s_aug3_3cl_300ep_40pat_0off_multisc_disk-w1-15-20_tunemix5</t>
  </si>
  <si>
    <t>Brachyura in  photos</t>
  </si>
  <si>
    <t xml:space="preserve">Photoset  Total Detections: </t>
  </si>
  <si>
    <t>epibenthos_finder_v11s_aug3_3cl_200ep_0pat_0off_multisc_disk-w1-15-20_tunemix5</t>
  </si>
  <si>
    <t>Test validation Paranemonia recall results</t>
  </si>
  <si>
    <t xml:space="preserve">1 TP </t>
  </si>
  <si>
    <t>1 TP + 2 FP</t>
  </si>
  <si>
    <t>Weights</t>
  </si>
  <si>
    <t>1-15-20</t>
  </si>
  <si>
    <t>TP brachyura image name</t>
  </si>
  <si>
    <t>close_mosaic</t>
  </si>
  <si>
    <t>epibenthos_finder_v11s_aug3_3cl_170ep_0pat_10off_multisc_disk-w1-15-20_tunemix5</t>
  </si>
  <si>
    <t>1 TP + 3 FP</t>
  </si>
  <si>
    <t>Test validation Paranemonia precision results</t>
  </si>
  <si>
    <t>epibenthos_finder_v11s_aug3_3cl_300ep_50pat_10off_multisc_disk-w1-15-20_tunemix5</t>
  </si>
  <si>
    <t>epibenthos_finder_v11s_aug3_3cl_260ep_0pat_10off_multisc_disk-w1-15-20_tunemix5</t>
  </si>
  <si>
    <t>GIS - Anemonia</t>
  </si>
  <si>
    <t>common FP image name</t>
  </si>
  <si>
    <t>epibenthos_finder_v11s_aug3_3cl_250ep_35pat_10off_multisc_disk-w1-15-20_tunemix5</t>
  </si>
  <si>
    <t>epibenthos_finder_v11s_aug3_3cl_170ep_0pat_0off_multisc_disk-drop25-w1-15-20_tunemix5</t>
  </si>
  <si>
    <t>1 TP + 1 FP</t>
  </si>
  <si>
    <t>1 TP + 4 FP</t>
  </si>
  <si>
    <t>epibenthos_finder_v11s_aug3_3cl_210ep_0pat_0off_multisc_disk-drop25-w1-15-20_tunemix5</t>
  </si>
  <si>
    <t>epibenthos_finder_v11s_aug3_3cl_180ep_0pat_0off_multisc_disk-drop25-w1-15-20_tunemix5</t>
  </si>
  <si>
    <t>epibenthos_finder_v11s_aug3_3cl_220ep_0pat_0off_multisc_disk-drop25-w1-15-30_tunemix5</t>
  </si>
  <si>
    <t>epibenthos_finder_v11s_aug3_3cl_230ep_0pat_0off_multisc_disk-drop25-w1-15-30_tunemix5</t>
  </si>
  <si>
    <t>epibenthos_finder_v11s_aug3_3cl_190ep_0pat_0off_multisc_disk-drop25-w1-15-30_tunemix5</t>
  </si>
  <si>
    <t xml:space="preserve">2TP + 2 FP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</si>
</sst>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  <xf numFmtId="2" fontId="0" fillId="0" borderId="0" xfId="0" applyNumberFormat="1"/>
    <xf numFmtId="0" fontId="0" fillId="3" borderId="1" xfId="0" applyFill="1" applyBorder="1"/>
    <xf numFmtId="0" fontId="0" fillId="3" borderId="0" xfId="0" applyFill="1"/>
    <xf numFmtId="2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Best resulting epochs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optimal_model_search!$E$2:$E$13</c:f>
              <c:numCache>
                <c:formatCode>General</c:formatCode>
                <c:ptCount val="12"/>
                <c:pt idx="0">
                  <c:v>154</c:v>
                </c:pt>
                <c:pt idx="1">
                  <c:v>157</c:v>
                </c:pt>
                <c:pt idx="2">
                  <c:v>159</c:v>
                </c:pt>
                <c:pt idx="3">
                  <c:v>162</c:v>
                </c:pt>
                <c:pt idx="4">
                  <c:v>169</c:v>
                </c:pt>
                <c:pt idx="5">
                  <c:v>202</c:v>
                </c:pt>
                <c:pt idx="6">
                  <c:v>206</c:v>
                </c:pt>
                <c:pt idx="7">
                  <c:v>206</c:v>
                </c:pt>
                <c:pt idx="8">
                  <c:v>233</c:v>
                </c:pt>
                <c:pt idx="9">
                  <c:v>241</c:v>
                </c:pt>
                <c:pt idx="10">
                  <c:v>242</c:v>
                </c:pt>
                <c:pt idx="11">
                  <c:v>242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B2-4D30-B243-638A4AA98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305855"/>
        <c:axId val="1264306335"/>
      </c:scatterChart>
      <c:valAx>
        <c:axId val="126430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306335"/>
        <c:crosses val="autoZero"/>
        <c:crossBetween val="midCat"/>
      </c:valAx>
      <c:valAx>
        <c:axId val="126430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30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Paranem test</a:t>
            </a:r>
            <a:r>
              <a:rPr lang="en-US" baseline="0"/>
              <a:t> </a:t>
            </a:r>
          </a:p>
          <a:p>
            <a:pPr>
              <a:defRPr/>
            </a:pPr>
            <a:r>
              <a:rPr lang="en-US"/>
              <a:t>recall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5531496062992E-2"/>
          <c:y val="0.23836518370841342"/>
          <c:w val="0.8648912948381452"/>
          <c:h val="0.649605836641102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optimal_model_search!$E$2:$E$12</c:f>
              <c:numCache>
                <c:formatCode>General</c:formatCode>
                <c:ptCount val="11"/>
                <c:pt idx="0">
                  <c:v>154</c:v>
                </c:pt>
                <c:pt idx="1">
                  <c:v>157</c:v>
                </c:pt>
                <c:pt idx="2">
                  <c:v>159</c:v>
                </c:pt>
                <c:pt idx="3">
                  <c:v>162</c:v>
                </c:pt>
                <c:pt idx="4">
                  <c:v>169</c:v>
                </c:pt>
                <c:pt idx="5">
                  <c:v>202</c:v>
                </c:pt>
                <c:pt idx="6">
                  <c:v>206</c:v>
                </c:pt>
                <c:pt idx="7">
                  <c:v>206</c:v>
                </c:pt>
                <c:pt idx="8">
                  <c:v>233</c:v>
                </c:pt>
                <c:pt idx="9">
                  <c:v>241</c:v>
                </c:pt>
                <c:pt idx="10">
                  <c:v>242</c:v>
                </c:pt>
              </c:numCache>
            </c:numRef>
          </c:xVal>
          <c:yVal>
            <c:numRef>
              <c:f>optimal_model_search!$H$2:$H$12</c:f>
              <c:numCache>
                <c:formatCode>General</c:formatCode>
                <c:ptCount val="11"/>
                <c:pt idx="0">
                  <c:v>0.60499999999999998</c:v>
                </c:pt>
                <c:pt idx="1">
                  <c:v>0.56899999999999995</c:v>
                </c:pt>
                <c:pt idx="2">
                  <c:v>0.63</c:v>
                </c:pt>
                <c:pt idx="3">
                  <c:v>0.61699999999999999</c:v>
                </c:pt>
                <c:pt idx="4">
                  <c:v>0.59</c:v>
                </c:pt>
                <c:pt idx="5">
                  <c:v>0.63500000000000001</c:v>
                </c:pt>
                <c:pt idx="6">
                  <c:v>0.60199999999999998</c:v>
                </c:pt>
                <c:pt idx="7">
                  <c:v>0.65500000000000003</c:v>
                </c:pt>
                <c:pt idx="8">
                  <c:v>0.67500000000000004</c:v>
                </c:pt>
                <c:pt idx="9">
                  <c:v>0.65600000000000003</c:v>
                </c:pt>
                <c:pt idx="10">
                  <c:v>0.626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2D-496D-AA2B-090992C48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6634111"/>
        <c:axId val="1636627871"/>
      </c:scatterChart>
      <c:valAx>
        <c:axId val="1636634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627871"/>
        <c:crosses val="autoZero"/>
        <c:crossBetween val="midCat"/>
      </c:valAx>
      <c:valAx>
        <c:axId val="163662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634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Paranemonia findings per best resulting epoch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optimal_model_search!$E$2:$E$12</c:f>
              <c:numCache>
                <c:formatCode>General</c:formatCode>
                <c:ptCount val="11"/>
                <c:pt idx="0">
                  <c:v>154</c:v>
                </c:pt>
                <c:pt idx="1">
                  <c:v>157</c:v>
                </c:pt>
                <c:pt idx="2">
                  <c:v>159</c:v>
                </c:pt>
                <c:pt idx="3">
                  <c:v>162</c:v>
                </c:pt>
                <c:pt idx="4">
                  <c:v>169</c:v>
                </c:pt>
                <c:pt idx="5">
                  <c:v>202</c:v>
                </c:pt>
                <c:pt idx="6">
                  <c:v>206</c:v>
                </c:pt>
                <c:pt idx="7">
                  <c:v>206</c:v>
                </c:pt>
                <c:pt idx="8">
                  <c:v>233</c:v>
                </c:pt>
                <c:pt idx="9">
                  <c:v>241</c:v>
                </c:pt>
                <c:pt idx="10">
                  <c:v>242</c:v>
                </c:pt>
              </c:numCache>
            </c:numRef>
          </c:xVal>
          <c:yVal>
            <c:numRef>
              <c:f>optimal_model_search!$I$2:$I$12</c:f>
              <c:numCache>
                <c:formatCode>General</c:formatCode>
                <c:ptCount val="11"/>
                <c:pt idx="0">
                  <c:v>439</c:v>
                </c:pt>
                <c:pt idx="1">
                  <c:v>419</c:v>
                </c:pt>
                <c:pt idx="2">
                  <c:v>453</c:v>
                </c:pt>
                <c:pt idx="3">
                  <c:v>442</c:v>
                </c:pt>
                <c:pt idx="4">
                  <c:v>404</c:v>
                </c:pt>
                <c:pt idx="5">
                  <c:v>400</c:v>
                </c:pt>
                <c:pt idx="6">
                  <c:v>398</c:v>
                </c:pt>
                <c:pt idx="7">
                  <c:v>382</c:v>
                </c:pt>
                <c:pt idx="8">
                  <c:v>397</c:v>
                </c:pt>
                <c:pt idx="9">
                  <c:v>401</c:v>
                </c:pt>
                <c:pt idx="10">
                  <c:v>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DC-4055-ADFE-604D823EB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6656191"/>
        <c:axId val="1636656671"/>
      </c:scatterChart>
      <c:valAx>
        <c:axId val="1636656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656671"/>
        <c:crosses val="autoZero"/>
        <c:crossBetween val="midCat"/>
      </c:valAx>
      <c:valAx>
        <c:axId val="163665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656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optimal_model_search!$L$2:$L$13</c:f>
              <c:numCache>
                <c:formatCode>General</c:formatCode>
                <c:ptCount val="12"/>
                <c:pt idx="0">
                  <c:v>34727</c:v>
                </c:pt>
                <c:pt idx="1">
                  <c:v>33181</c:v>
                </c:pt>
                <c:pt idx="2">
                  <c:v>33170</c:v>
                </c:pt>
                <c:pt idx="3">
                  <c:v>32665</c:v>
                </c:pt>
                <c:pt idx="4">
                  <c:v>33163</c:v>
                </c:pt>
                <c:pt idx="5">
                  <c:v>33202</c:v>
                </c:pt>
                <c:pt idx="6">
                  <c:v>36501</c:v>
                </c:pt>
                <c:pt idx="7">
                  <c:v>31428</c:v>
                </c:pt>
                <c:pt idx="8">
                  <c:v>39687</c:v>
                </c:pt>
                <c:pt idx="9">
                  <c:v>36165</c:v>
                </c:pt>
                <c:pt idx="10">
                  <c:v>31895</c:v>
                </c:pt>
                <c:pt idx="11">
                  <c:v>36322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35-4961-89EC-50153520B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2846576"/>
        <c:axId val="1922849456"/>
      </c:scatterChart>
      <c:valAx>
        <c:axId val="1922846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49456"/>
        <c:crosses val="autoZero"/>
        <c:crossBetween val="midCat"/>
      </c:valAx>
      <c:valAx>
        <c:axId val="192284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46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</cx:chartData>
  <cx:chart>
    <cx:plotArea>
      <cx:plotAreaRegion>
        <cx:series layoutId="boxWhisker" uniqueId="{437B0FBE-9051-40F5-8593-C61FB71DD84A}">
          <cx:tx>
            <cx:txData>
              <cx:f>_xlchart.v1.0</cx:f>
              <cx:v>GIS - Paranemonia</cx:v>
            </cx:txData>
          </cx:tx>
          <cx:dataId val="0"/>
          <cx:layoutPr>
            <cx:statistics quartileMethod="exclusive"/>
          </cx:layoutPr>
        </cx:series>
        <cx:series layoutId="boxWhisker" uniqueId="{B437F49A-9968-4201-A89D-50AAA5787F05}">
          <cx:tx>
            <cx:txData>
              <cx:f>_xlchart.v1.2</cx:f>
              <cx:v>GIS - Anemonia</cx:v>
            </cx:txData>
          </cx:tx>
          <cx:dataId val="1"/>
          <cx:layoutPr>
            <cx:statistics quartileMethod="exclusive"/>
          </cx:layoutPr>
        </cx:series>
        <cx:series layoutId="boxWhisker" uniqueId="{97EAEBE9-1698-4B33-887C-FABF275F31CC}">
          <cx:tx>
            <cx:txData>
              <cx:f>_xlchart.v1.4</cx:f>
              <cx:v>Test validation Paranemonia precision results</cx:v>
            </cx:txData>
          </cx:tx>
          <cx:dataId val="2"/>
          <cx:layoutPr>
            <cx:statistics quartileMethod="exclusive"/>
          </cx:layoutPr>
        </cx:series>
        <cx:series layoutId="boxWhisker" uniqueId="{86E0CF67-F07E-4EC3-9080-15CC447207CB}">
          <cx:tx>
            <cx:txData>
              <cx:f>_xlchart.v1.6</cx:f>
              <cx:v>Photoset  Total Detections: </cx:v>
            </cx:txData>
          </cx:tx>
          <cx:dataId val="3"/>
          <cx:layoutPr>
            <cx:statistics quartileMethod="exclusive"/>
          </cx:layoutPr>
        </cx:series>
      </cx:plotAreaRegion>
      <cx:axis id="0">
        <cx:catScaling gapWidth="1.5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/>
                  </a:rPr>
                  <a:t>Standardised values</a:t>
                </a:r>
                <a:endParaRPr lang="el-GR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rich>
          </cx:tx>
        </cx:title>
        <cx:tickLabels/>
      </cx:axis>
      <cx:axis id="1">
        <cx:valScaling/>
        <cx:majorGridlines/>
        <cx:majorTickMarks type="out"/>
        <cx:tickLabels/>
      </cx:axis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116786</xdr:colOff>
      <xdr:row>17</xdr:row>
      <xdr:rowOff>33618</xdr:rowOff>
    </xdr:from>
    <xdr:to>
      <xdr:col>0</xdr:col>
      <xdr:colOff>2680511</xdr:colOff>
      <xdr:row>32</xdr:row>
      <xdr:rowOff>33617</xdr:rowOff>
    </xdr:to>
    <xdr:graphicFrame macro="">
      <xdr:nvGraphicFramePr>
        <xdr:cNvPr id="2" name="Γράφημα 1">
          <a:extLst>
            <a:ext uri="{FF2B5EF4-FFF2-40B4-BE49-F238E27FC236}">
              <a16:creationId xmlns:a16="http://schemas.microsoft.com/office/drawing/2014/main" id="{8C278004-9356-1213-F6C1-8B6C212404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2854004</xdr:colOff>
      <xdr:row>17</xdr:row>
      <xdr:rowOff>105522</xdr:rowOff>
    </xdr:from>
    <xdr:to>
      <xdr:col>3</xdr:col>
      <xdr:colOff>446794</xdr:colOff>
      <xdr:row>32</xdr:row>
      <xdr:rowOff>77401</xdr:rowOff>
    </xdr:to>
    <xdr:graphicFrame macro="">
      <xdr:nvGraphicFramePr>
        <xdr:cNvPr id="4" name="Γράφημα 3">
          <a:extLst>
            <a:ext uri="{FF2B5EF4-FFF2-40B4-BE49-F238E27FC236}">
              <a16:creationId xmlns:a16="http://schemas.microsoft.com/office/drawing/2014/main" id="{C7B4AA68-344E-5891-20FF-53B4B83D4C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138393</xdr:colOff>
      <xdr:row>18</xdr:row>
      <xdr:rowOff>42180</xdr:rowOff>
    </xdr:from>
    <xdr:to>
      <xdr:col>7</xdr:col>
      <xdr:colOff>79963</xdr:colOff>
      <xdr:row>33</xdr:row>
      <xdr:rowOff>23130</xdr:rowOff>
    </xdr:to>
    <xdr:graphicFrame macro="">
      <xdr:nvGraphicFramePr>
        <xdr:cNvPr id="7" name="Γράφημα 6">
          <a:extLst>
            <a:ext uri="{FF2B5EF4-FFF2-40B4-BE49-F238E27FC236}">
              <a16:creationId xmlns:a16="http://schemas.microsoft.com/office/drawing/2014/main" id="{BC332FF5-A74F-8850-90A7-15E8EE55BF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472754</xdr:colOff>
      <xdr:row>18</xdr:row>
      <xdr:rowOff>81137</xdr:rowOff>
    </xdr:from>
    <xdr:to>
      <xdr:col>15</xdr:col>
      <xdr:colOff>69211</xdr:colOff>
      <xdr:row>38</xdr:row>
      <xdr:rowOff>15369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Γράφημα 8">
              <a:extLst>
                <a:ext uri="{FF2B5EF4-FFF2-40B4-BE49-F238E27FC236}">
                  <a16:creationId xmlns:a16="http://schemas.microsoft.com/office/drawing/2014/main" id="{5326F233-4BC1-3E39-EB91-29A34557E3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4215" y="3510137"/>
              <a:ext cx="8717913" cy="37442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238258</xdr:colOff>
      <xdr:row>18</xdr:row>
      <xdr:rowOff>163073</xdr:rowOff>
    </xdr:from>
    <xdr:to>
      <xdr:col>9</xdr:col>
      <xdr:colOff>212911</xdr:colOff>
      <xdr:row>33</xdr:row>
      <xdr:rowOff>102187</xdr:rowOff>
    </xdr:to>
    <xdr:graphicFrame macro="">
      <xdr:nvGraphicFramePr>
        <xdr:cNvPr id="3" name="Γράφημα 2">
          <a:extLst>
            <a:ext uri="{FF2B5EF4-FFF2-40B4-BE49-F238E27FC236}">
              <a16:creationId xmlns:a16="http://schemas.microsoft.com/office/drawing/2014/main" id="{A291F216-1B09-4D7C-5D91-BCC4A0D551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CF75C-1432-4172-9E5F-7BC9A6D2B903}">
  <dimension ref="A1:S18"/>
  <sheetViews>
    <sheetView showFormulas="1" tabSelected="1" zoomScale="85" zoomScaleNormal="85" workbookViewId="0">
      <selection activeCell="F41" sqref="F41"/>
    </sheetView>
  </sheetViews>
  <sheetFormatPr defaultRowHeight="15" x14ac:dyDescent="0.25"/>
  <cols>
    <col min="1" max="1" width="44.42578125" bestFit="1" customWidth="1"/>
    <col min="2" max="2" width="8.7109375" bestFit="1" customWidth="1"/>
    <col min="3" max="3" width="5.5703125" bestFit="1" customWidth="1"/>
    <col min="4" max="4" width="7.5703125" bestFit="1" customWidth="1"/>
    <col min="5" max="5" width="10.85546875" bestFit="1" customWidth="1"/>
    <col min="6" max="6" width="5.42578125" bestFit="1" customWidth="1"/>
    <col min="7" max="7" width="22.42578125" customWidth="1"/>
    <col min="8" max="8" width="20.7109375" bestFit="1" customWidth="1"/>
    <col min="9" max="9" width="10" bestFit="1" customWidth="1"/>
    <col min="10" max="10" width="8.7109375" bestFit="1" customWidth="1"/>
    <col min="11" max="11" width="8.5703125" bestFit="1" customWidth="1"/>
    <col min="12" max="12" width="14.140625" bestFit="1" customWidth="1"/>
    <col min="13" max="13" width="14" customWidth="1"/>
    <col min="14" max="14" width="13.28515625" bestFit="1" customWidth="1"/>
    <col min="15" max="15" width="12.7109375" bestFit="1" customWidth="1"/>
    <col min="16" max="16" width="9.7109375" bestFit="1" customWidth="1"/>
  </cols>
  <sheetData>
    <row r="1" spans="1:19" s="1" customFormat="1" x14ac:dyDescent="0.25">
      <c r="A1" s="2" t="s">
        <v>0</v>
      </c>
      <c r="B1" s="2" t="s">
        <v>1</v>
      </c>
      <c r="C1" s="2" t="s">
        <v>2</v>
      </c>
      <c r="D1" s="2" t="s">
        <v>16</v>
      </c>
      <c r="E1" s="2" t="s">
        <v>3</v>
      </c>
      <c r="F1" s="2" t="s">
        <v>13</v>
      </c>
      <c r="G1" s="2" t="s">
        <v>19</v>
      </c>
      <c r="H1" s="2" t="s">
        <v>10</v>
      </c>
      <c r="I1" s="2" t="s">
        <v>4</v>
      </c>
      <c r="J1" s="2" t="s">
        <v>22</v>
      </c>
      <c r="K1" s="2" t="s">
        <v>5</v>
      </c>
      <c r="L1" s="2" t="s">
        <v>8</v>
      </c>
      <c r="M1" s="2" t="s">
        <v>7</v>
      </c>
      <c r="N1" s="1" t="s">
        <v>15</v>
      </c>
      <c r="O1" s="1" t="s">
        <v>23</v>
      </c>
      <c r="P1" s="2" t="s">
        <v>4</v>
      </c>
      <c r="Q1" s="2" t="s">
        <v>22</v>
      </c>
      <c r="R1" s="2" t="s">
        <v>19</v>
      </c>
      <c r="S1" s="2" t="s">
        <v>8</v>
      </c>
    </row>
    <row r="2" spans="1:19" x14ac:dyDescent="0.25">
      <c r="A2" s="3" t="s">
        <v>25</v>
      </c>
      <c r="B2" s="3">
        <v>170</v>
      </c>
      <c r="C2" s="3">
        <v>0</v>
      </c>
      <c r="D2" s="3">
        <v>0</v>
      </c>
      <c r="E2" s="3">
        <v>154</v>
      </c>
      <c r="F2" s="3" t="s">
        <v>14</v>
      </c>
      <c r="G2" s="3">
        <v>0.83</v>
      </c>
      <c r="H2" s="3">
        <v>0.60499999999999998</v>
      </c>
      <c r="I2" s="3">
        <v>439</v>
      </c>
      <c r="J2" s="3">
        <v>22</v>
      </c>
      <c r="K2" s="3">
        <v>1</v>
      </c>
      <c r="L2" s="3">
        <v>34727</v>
      </c>
      <c r="M2" s="3" t="s">
        <v>26</v>
      </c>
      <c r="N2">
        <v>42153</v>
      </c>
      <c r="O2">
        <v>42563</v>
      </c>
      <c r="P2" s="4">
        <f>(I2-MIN($I$2:$I$13))/(MAX($I$2:$I$13)-MIN($I$2:$I$13))</f>
        <v>0.76</v>
      </c>
      <c r="Q2" s="4">
        <f>(J2-MIN($J$2:$J$13))/(MAX($J$2:$J$13)-MIN($J$2:$J$13))</f>
        <v>5.5555555555555552E-2</v>
      </c>
      <c r="R2" s="4">
        <f>(G2-MIN($G$2:$G$13))/(MAX($G$2:$G$13)-MIN($G$2:$G$13))</f>
        <v>0.33093525179856059</v>
      </c>
      <c r="S2" s="4">
        <f>(L2-MIN($L$2:$L$13))/(MAX($L$2:$L$13)-MIN($L$2:$L$13))</f>
        <v>0.39944303184404889</v>
      </c>
    </row>
    <row r="3" spans="1:19" x14ac:dyDescent="0.25">
      <c r="A3" s="3" t="s">
        <v>17</v>
      </c>
      <c r="B3" s="3">
        <v>170</v>
      </c>
      <c r="C3" s="3">
        <v>0</v>
      </c>
      <c r="D3" s="3">
        <v>10</v>
      </c>
      <c r="E3" s="3">
        <v>157</v>
      </c>
      <c r="F3" s="3" t="s">
        <v>14</v>
      </c>
      <c r="G3" s="3">
        <v>0.83699999999999997</v>
      </c>
      <c r="H3" s="3">
        <v>0.56899999999999995</v>
      </c>
      <c r="I3" s="3">
        <v>419</v>
      </c>
      <c r="J3" s="3">
        <v>25</v>
      </c>
      <c r="K3" s="3">
        <v>1</v>
      </c>
      <c r="L3" s="3">
        <v>33181</v>
      </c>
      <c r="M3" s="3" t="s">
        <v>18</v>
      </c>
      <c r="N3">
        <v>42153</v>
      </c>
      <c r="O3">
        <v>40149</v>
      </c>
      <c r="P3" s="4">
        <f t="shared" ref="P3:P13" si="0">(I3-MIN($I$2:$I$13))/(MAX($I$2:$I$13)-MIN($I$2:$I$13))</f>
        <v>0.49333333333333335</v>
      </c>
      <c r="Q3" s="4">
        <f t="shared" ref="Q3:Q13" si="1">(J3-MIN($J$2:$J$13))/(MAX($J$2:$J$13)-MIN($J$2:$J$13))</f>
        <v>0.22222222222222221</v>
      </c>
      <c r="R3" s="4">
        <f t="shared" ref="R3:R13" si="2">(G3-MIN($G$2:$G$13))/(MAX($G$2:$G$13)-MIN($G$2:$G$13))</f>
        <v>0.3812949640287765</v>
      </c>
      <c r="S3" s="4">
        <f t="shared" ref="S3:S13" si="3">(L3-MIN($L$2:$L$13))/(MAX($L$2:$L$13)-MIN($L$2:$L$13))</f>
        <v>0.21225329943092383</v>
      </c>
    </row>
    <row r="4" spans="1:19" x14ac:dyDescent="0.25">
      <c r="A4" s="3" t="s">
        <v>29</v>
      </c>
      <c r="B4" s="3">
        <v>180</v>
      </c>
      <c r="C4" s="3">
        <v>0</v>
      </c>
      <c r="D4" s="3">
        <v>0</v>
      </c>
      <c r="E4" s="3">
        <v>159</v>
      </c>
      <c r="F4" s="3" t="s">
        <v>14</v>
      </c>
      <c r="G4" s="3">
        <v>0.78400000000000003</v>
      </c>
      <c r="H4" s="3">
        <v>0.63</v>
      </c>
      <c r="I4" s="3">
        <v>453</v>
      </c>
      <c r="J4" s="3">
        <v>21</v>
      </c>
      <c r="K4" s="3">
        <v>1</v>
      </c>
      <c r="L4" s="3">
        <v>33170</v>
      </c>
      <c r="M4" s="3" t="s">
        <v>11</v>
      </c>
      <c r="N4">
        <v>42153</v>
      </c>
      <c r="P4" s="4">
        <f t="shared" si="0"/>
        <v>0.94666666666666666</v>
      </c>
      <c r="Q4" s="4">
        <f t="shared" si="1"/>
        <v>0</v>
      </c>
      <c r="R4" s="4">
        <f t="shared" si="2"/>
        <v>0</v>
      </c>
      <c r="S4" s="4">
        <f t="shared" si="3"/>
        <v>0.21092141905799733</v>
      </c>
    </row>
    <row r="5" spans="1:19" s="6" customFormat="1" x14ac:dyDescent="0.25">
      <c r="A5" s="5" t="s">
        <v>32</v>
      </c>
      <c r="B5" s="5">
        <v>190</v>
      </c>
      <c r="C5" s="5">
        <v>0</v>
      </c>
      <c r="D5" s="5">
        <v>0</v>
      </c>
      <c r="E5" s="5">
        <v>162</v>
      </c>
      <c r="F5" s="5" t="s">
        <v>14</v>
      </c>
      <c r="G5" s="5">
        <v>0.82599999999999996</v>
      </c>
      <c r="H5" s="5">
        <v>0.61699999999999999</v>
      </c>
      <c r="I5" s="5">
        <v>442</v>
      </c>
      <c r="J5" s="5">
        <v>25</v>
      </c>
      <c r="K5" s="5">
        <v>1</v>
      </c>
      <c r="L5" s="5">
        <v>32665</v>
      </c>
      <c r="M5" s="5" t="s">
        <v>33</v>
      </c>
      <c r="N5" s="6">
        <v>40033</v>
      </c>
      <c r="O5" s="6">
        <v>42440</v>
      </c>
      <c r="P5" s="7">
        <f t="shared" si="0"/>
        <v>0.8</v>
      </c>
      <c r="Q5" s="7">
        <f t="shared" si="1"/>
        <v>0.22222222222222221</v>
      </c>
      <c r="R5" s="7">
        <f t="shared" si="2"/>
        <v>0.30215827338129442</v>
      </c>
      <c r="S5" s="7">
        <f t="shared" si="3"/>
        <v>0.14977600193728055</v>
      </c>
    </row>
    <row r="6" spans="1:19" x14ac:dyDescent="0.25">
      <c r="A6" s="3" t="s">
        <v>9</v>
      </c>
      <c r="B6" s="3">
        <v>200</v>
      </c>
      <c r="C6" s="3">
        <v>0</v>
      </c>
      <c r="D6" s="3">
        <v>0</v>
      </c>
      <c r="E6" s="3">
        <v>169</v>
      </c>
      <c r="F6" s="3" t="s">
        <v>14</v>
      </c>
      <c r="G6" s="3">
        <v>0.89100000000000001</v>
      </c>
      <c r="H6" s="3">
        <v>0.59</v>
      </c>
      <c r="I6" s="3">
        <v>404</v>
      </c>
      <c r="J6" s="3">
        <v>24</v>
      </c>
      <c r="K6" s="3">
        <v>1</v>
      </c>
      <c r="L6" s="3">
        <v>33163</v>
      </c>
      <c r="M6" s="3" t="s">
        <v>11</v>
      </c>
      <c r="N6">
        <v>42153</v>
      </c>
      <c r="P6" s="4">
        <f t="shared" si="0"/>
        <v>0.29333333333333333</v>
      </c>
      <c r="Q6" s="4">
        <f t="shared" si="1"/>
        <v>0.16666666666666666</v>
      </c>
      <c r="R6" s="4">
        <f t="shared" si="2"/>
        <v>0.76978417266187027</v>
      </c>
      <c r="S6" s="4">
        <f t="shared" si="3"/>
        <v>0.21007385882068047</v>
      </c>
    </row>
    <row r="7" spans="1:19" x14ac:dyDescent="0.25">
      <c r="A7" s="3" t="s">
        <v>30</v>
      </c>
      <c r="B7" s="3">
        <v>220</v>
      </c>
      <c r="C7" s="3">
        <v>0</v>
      </c>
      <c r="D7" s="3">
        <v>0</v>
      </c>
      <c r="E7" s="3">
        <v>202</v>
      </c>
      <c r="F7" s="3" t="s">
        <v>14</v>
      </c>
      <c r="G7" s="3">
        <v>0.877</v>
      </c>
      <c r="H7" s="3">
        <v>0.63500000000000001</v>
      </c>
      <c r="I7" s="3">
        <v>400</v>
      </c>
      <c r="J7" s="3">
        <v>35</v>
      </c>
      <c r="K7" s="3">
        <v>1</v>
      </c>
      <c r="L7" s="3">
        <v>33202</v>
      </c>
      <c r="M7" s="3" t="s">
        <v>11</v>
      </c>
      <c r="N7">
        <v>42153</v>
      </c>
      <c r="P7" s="4">
        <f t="shared" si="0"/>
        <v>0.24</v>
      </c>
      <c r="Q7" s="4">
        <f t="shared" si="1"/>
        <v>0.77777777777777779</v>
      </c>
      <c r="R7" s="4">
        <f t="shared" si="2"/>
        <v>0.66906474820143857</v>
      </c>
      <c r="S7" s="4">
        <f t="shared" si="3"/>
        <v>0.21479598014287443</v>
      </c>
    </row>
    <row r="8" spans="1:19" x14ac:dyDescent="0.25">
      <c r="A8" s="3" t="s">
        <v>28</v>
      </c>
      <c r="B8" s="3">
        <v>210</v>
      </c>
      <c r="C8" s="3">
        <v>0</v>
      </c>
      <c r="D8" s="3">
        <v>0</v>
      </c>
      <c r="E8" s="3">
        <v>206</v>
      </c>
      <c r="F8" s="3" t="s">
        <v>14</v>
      </c>
      <c r="G8" s="3">
        <v>0.90200000000000002</v>
      </c>
      <c r="H8" s="3">
        <v>0.60199999999999998</v>
      </c>
      <c r="I8" s="3">
        <v>398</v>
      </c>
      <c r="J8" s="3">
        <v>39</v>
      </c>
      <c r="K8" s="3">
        <v>1</v>
      </c>
      <c r="L8" s="3">
        <v>36501</v>
      </c>
      <c r="M8" s="3" t="s">
        <v>18</v>
      </c>
      <c r="N8">
        <v>42153</v>
      </c>
      <c r="O8">
        <v>42570</v>
      </c>
      <c r="P8" s="4">
        <f t="shared" si="0"/>
        <v>0.21333333333333335</v>
      </c>
      <c r="Q8" s="4">
        <f t="shared" si="1"/>
        <v>1</v>
      </c>
      <c r="R8" s="4">
        <f t="shared" si="2"/>
        <v>0.84892086330935235</v>
      </c>
      <c r="S8" s="4">
        <f t="shared" si="3"/>
        <v>0.61423901198692332</v>
      </c>
    </row>
    <row r="9" spans="1:19" x14ac:dyDescent="0.25">
      <c r="A9" s="3" t="s">
        <v>31</v>
      </c>
      <c r="B9" s="3">
        <v>230</v>
      </c>
      <c r="C9" s="3">
        <v>0</v>
      </c>
      <c r="D9" s="3">
        <v>0</v>
      </c>
      <c r="E9" s="3">
        <v>206</v>
      </c>
      <c r="F9" s="3" t="s">
        <v>14</v>
      </c>
      <c r="G9" s="3">
        <v>0.877</v>
      </c>
      <c r="H9" s="3">
        <v>0.65500000000000003</v>
      </c>
      <c r="I9" s="3">
        <v>382</v>
      </c>
      <c r="J9" s="3">
        <v>27</v>
      </c>
      <c r="K9" s="3">
        <v>1</v>
      </c>
      <c r="L9" s="3">
        <v>31428</v>
      </c>
      <c r="M9" s="3" t="s">
        <v>11</v>
      </c>
      <c r="N9">
        <v>42153</v>
      </c>
      <c r="P9" s="4">
        <f t="shared" si="0"/>
        <v>0</v>
      </c>
      <c r="Q9" s="4">
        <f t="shared" si="1"/>
        <v>0.33333333333333331</v>
      </c>
      <c r="R9" s="4">
        <f t="shared" si="2"/>
        <v>0.66906474820143857</v>
      </c>
      <c r="S9" s="4">
        <f t="shared" si="3"/>
        <v>0</v>
      </c>
    </row>
    <row r="10" spans="1:19" x14ac:dyDescent="0.25">
      <c r="A10" s="3" t="s">
        <v>6</v>
      </c>
      <c r="B10" s="3">
        <v>300</v>
      </c>
      <c r="C10" s="3">
        <v>40</v>
      </c>
      <c r="D10" s="3">
        <v>0</v>
      </c>
      <c r="E10" s="3">
        <v>233</v>
      </c>
      <c r="F10" s="3" t="s">
        <v>14</v>
      </c>
      <c r="G10" s="3">
        <v>0.90100000000000002</v>
      </c>
      <c r="H10" s="3">
        <v>0.67500000000000004</v>
      </c>
      <c r="I10" s="3">
        <v>397</v>
      </c>
      <c r="J10" s="3">
        <v>27</v>
      </c>
      <c r="K10" s="3">
        <v>1</v>
      </c>
      <c r="L10" s="3">
        <v>39687</v>
      </c>
      <c r="M10" s="3" t="s">
        <v>12</v>
      </c>
      <c r="N10">
        <v>42153</v>
      </c>
      <c r="O10">
        <v>40149</v>
      </c>
      <c r="P10" s="4">
        <f t="shared" si="0"/>
        <v>0.2</v>
      </c>
      <c r="Q10" s="4">
        <f t="shared" si="1"/>
        <v>0.33333333333333331</v>
      </c>
      <c r="R10" s="4">
        <f t="shared" si="2"/>
        <v>0.84172661870503585</v>
      </c>
      <c r="S10" s="4">
        <f t="shared" si="3"/>
        <v>1</v>
      </c>
    </row>
    <row r="11" spans="1:19" x14ac:dyDescent="0.25">
      <c r="A11" s="3" t="s">
        <v>20</v>
      </c>
      <c r="B11" s="3">
        <v>300</v>
      </c>
      <c r="C11" s="3">
        <v>50</v>
      </c>
      <c r="D11" s="3">
        <v>10</v>
      </c>
      <c r="E11" s="3">
        <v>241</v>
      </c>
      <c r="F11" s="3" t="s">
        <v>14</v>
      </c>
      <c r="G11" s="3">
        <v>0.88600000000000001</v>
      </c>
      <c r="H11" s="3">
        <v>0.65600000000000003</v>
      </c>
      <c r="I11" s="3">
        <v>401</v>
      </c>
      <c r="J11" s="3">
        <v>26</v>
      </c>
      <c r="K11" s="3">
        <v>1</v>
      </c>
      <c r="L11" s="3">
        <v>36165</v>
      </c>
      <c r="M11" s="3" t="s">
        <v>18</v>
      </c>
      <c r="N11">
        <v>42153</v>
      </c>
      <c r="O11">
        <v>40149</v>
      </c>
      <c r="P11" s="4">
        <f t="shared" si="0"/>
        <v>0.25333333333333335</v>
      </c>
      <c r="Q11" s="4">
        <f t="shared" si="1"/>
        <v>0.27777777777777779</v>
      </c>
      <c r="R11" s="4">
        <f t="shared" si="2"/>
        <v>0.73381294964028754</v>
      </c>
      <c r="S11" s="4">
        <f t="shared" si="3"/>
        <v>0.57355612059571381</v>
      </c>
    </row>
    <row r="12" spans="1:19" x14ac:dyDescent="0.25">
      <c r="A12" s="3" t="s">
        <v>21</v>
      </c>
      <c r="B12" s="3">
        <v>260</v>
      </c>
      <c r="C12" s="3">
        <v>0</v>
      </c>
      <c r="D12" s="3">
        <v>10</v>
      </c>
      <c r="E12" s="3">
        <v>242</v>
      </c>
      <c r="F12" s="3" t="s">
        <v>14</v>
      </c>
      <c r="G12" s="3">
        <v>0.91200000000000003</v>
      </c>
      <c r="H12" s="3">
        <v>0.626</v>
      </c>
      <c r="I12" s="3">
        <v>405</v>
      </c>
      <c r="J12" s="3">
        <v>25</v>
      </c>
      <c r="K12" s="3">
        <v>1</v>
      </c>
      <c r="L12" s="3">
        <v>31895</v>
      </c>
      <c r="M12" s="3" t="s">
        <v>12</v>
      </c>
      <c r="N12">
        <v>42153</v>
      </c>
      <c r="O12">
        <v>40149</v>
      </c>
      <c r="P12" s="4">
        <f t="shared" si="0"/>
        <v>0.30666666666666664</v>
      </c>
      <c r="Q12" s="4">
        <f t="shared" si="1"/>
        <v>0.22222222222222221</v>
      </c>
      <c r="R12" s="4">
        <f t="shared" si="2"/>
        <v>0.92086330935251792</v>
      </c>
      <c r="S12" s="4">
        <f t="shared" si="3"/>
        <v>5.6544375832425234E-2</v>
      </c>
    </row>
    <row r="13" spans="1:19" x14ac:dyDescent="0.25">
      <c r="A13" s="3" t="s">
        <v>24</v>
      </c>
      <c r="B13" s="3">
        <v>250</v>
      </c>
      <c r="C13" s="3">
        <v>35</v>
      </c>
      <c r="D13" s="3">
        <v>10</v>
      </c>
      <c r="E13" s="3">
        <v>242</v>
      </c>
      <c r="F13" s="3" t="s">
        <v>14</v>
      </c>
      <c r="G13" s="3">
        <v>0.92300000000000004</v>
      </c>
      <c r="H13" s="3">
        <v>0.61399999999999999</v>
      </c>
      <c r="I13" s="3">
        <v>457</v>
      </c>
      <c r="J13" s="3">
        <v>29</v>
      </c>
      <c r="K13" s="3">
        <v>1</v>
      </c>
      <c r="L13" s="3">
        <v>36322</v>
      </c>
      <c r="M13" s="3" t="s">
        <v>27</v>
      </c>
      <c r="N13">
        <v>42153</v>
      </c>
      <c r="O13">
        <v>42563</v>
      </c>
      <c r="P13" s="4">
        <f t="shared" si="0"/>
        <v>1</v>
      </c>
      <c r="Q13" s="4">
        <f t="shared" si="1"/>
        <v>0.44444444444444442</v>
      </c>
      <c r="R13" s="4">
        <f t="shared" si="2"/>
        <v>1</v>
      </c>
      <c r="S13" s="4">
        <f t="shared" si="3"/>
        <v>0.59256568591839209</v>
      </c>
    </row>
    <row r="15" spans="1:19" x14ac:dyDescent="0.25">
      <c r="G15" s="4">
        <f t="shared" ref="G15:H15" si="4">AVERAGE(G2:G13)</f>
        <v>0.87049999999999994</v>
      </c>
      <c r="H15" s="4">
        <f t="shared" si="4"/>
        <v>0.62283333333333335</v>
      </c>
      <c r="I15" s="4">
        <f>AVERAGE(I2:I13)</f>
        <v>416.41666666666669</v>
      </c>
      <c r="J15" s="4">
        <f>AVERAGE(J2:J13)</f>
        <v>27.083333333333332</v>
      </c>
      <c r="P15" s="4">
        <f>AVERAGE(P2:P13)</f>
        <v>0.4588888888888889</v>
      </c>
      <c r="Q15" s="4">
        <f t="shared" ref="Q15:S15" si="5">AVERAGE(Q2:Q13)</f>
        <v>0.33796296296296302</v>
      </c>
      <c r="R15" s="4">
        <f t="shared" si="5"/>
        <v>0.62230215827338109</v>
      </c>
      <c r="S15" s="4">
        <f t="shared" si="5"/>
        <v>0.35284739879727173</v>
      </c>
    </row>
    <row r="16" spans="1:19" x14ac:dyDescent="0.25">
      <c r="G16">
        <f t="shared" ref="G16:H16" si="6">_xlfn.STDEV.P(G2:G13)</f>
        <v>4.0177730149922625E-2</v>
      </c>
      <c r="H16">
        <f t="shared" si="6"/>
        <v>2.8731032390469778E-2</v>
      </c>
      <c r="I16">
        <f>_xlfn.STDEV.P(I2:I13)</f>
        <v>23.890229290560516</v>
      </c>
      <c r="J16">
        <f>_xlfn.STDEV.P(J2:J13)</f>
        <v>4.9574579059119497</v>
      </c>
      <c r="P16">
        <f>_xlfn.STDEV.P(P2:P13)</f>
        <v>0.31853639054080696</v>
      </c>
      <c r="Q16">
        <f t="shared" ref="Q16:S16" si="7">_xlfn.STDEV.P(Q2:Q13)</f>
        <v>0.27541432810621941</v>
      </c>
      <c r="R16">
        <f t="shared" si="7"/>
        <v>0.28904841834476713</v>
      </c>
      <c r="S16">
        <f t="shared" si="7"/>
        <v>0.27814374845525225</v>
      </c>
    </row>
    <row r="17" spans="7:16" x14ac:dyDescent="0.25">
      <c r="G17" s="4">
        <f t="shared" ref="G17:H17" si="8">G16/G15</f>
        <v>4.6154773291123066E-2</v>
      </c>
      <c r="H17" s="4">
        <f t="shared" si="8"/>
        <v>4.6129567659303899E-2</v>
      </c>
      <c r="I17" s="4">
        <f>I16/I15</f>
        <v>5.737097288107388E-2</v>
      </c>
      <c r="J17" s="4">
        <f>J16/J15</f>
        <v>0.18304459960290276</v>
      </c>
    </row>
    <row r="18" spans="7:16" x14ac:dyDescent="0.25">
      <c r="H18">
        <f t="shared" ref="H18:I18" si="9">0.95*H16</f>
        <v>2.7294480770946289E-2</v>
      </c>
      <c r="I18">
        <f t="shared" si="9"/>
        <v>22.695717826032489</v>
      </c>
      <c r="J18">
        <f>0.95*J16</f>
        <v>4.7095850106163519</v>
      </c>
      <c r="P18" s="4"/>
    </row>
  </sheetData>
  <autoFilter ref="A1:O1" xr:uid="{37DCF75C-1432-4172-9E5F-7BC9A6D2B903}">
    <sortState xmlns:xlrd2="http://schemas.microsoft.com/office/spreadsheetml/2017/richdata2" ref="A2:O13">
      <sortCondition ref="E1"/>
    </sortState>
  </autoFilter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optimal_model_search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Nikolaos Providakis</dc:creator>
  <cp:lastModifiedBy>Nikolaos Providakis</cp:lastModifiedBy>
  <dcterms:created xsi:type="dcterms:W3CDTF">2015-06-05T18:19:34Z</dcterms:created>
  <dcterms:modified xsi:type="dcterms:W3CDTF">2026-04-10T02:06:32Z</dcterms:modified>
</cp:coreProperties>
</file>